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men_IA" sheetId="2" state="visible" r:id="rId4"/>
    <sheet name="Documentació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<sst xmlns="http://schemas.openxmlformats.org/spreadsheetml/2006/main" count="309" uniqueCount="60">
  <si>
    <t xml:space="preserve">Fecha</t>
  </si>
  <si>
    <t xml:space="preserve">Categoría</t>
  </si>
  <si>
    <t xml:space="preserve">Descripción</t>
  </si>
  <si>
    <t xml:space="preserve">Monto</t>
  </si>
  <si>
    <t xml:space="preserve">Mes</t>
  </si>
  <si>
    <t xml:space="preserve">Vivienda</t>
  </si>
  <si>
    <t xml:space="preserve">Arriendo apartamento</t>
  </si>
  <si>
    <t xml:space="preserve">Enero 2026</t>
  </si>
  <si>
    <t xml:space="preserve">Alimentación</t>
  </si>
  <si>
    <t xml:space="preserve">Mercado supermercado</t>
  </si>
  <si>
    <t xml:space="preserve">Transporte</t>
  </si>
  <si>
    <t xml:space="preserve">Transmilenio recarga</t>
  </si>
  <si>
    <t xml:space="preserve">Administración conjunto</t>
  </si>
  <si>
    <t xml:space="preserve">Restaurante almuerzo</t>
  </si>
  <si>
    <t xml:space="preserve">Frutas y verduras plaza</t>
  </si>
  <si>
    <t xml:space="preserve">Entretenimiento</t>
  </si>
  <si>
    <t xml:space="preserve">Cine</t>
  </si>
  <si>
    <t xml:space="preserve">Salud</t>
  </si>
  <si>
    <t xml:space="preserve">Droguería medicamentos</t>
  </si>
  <si>
    <t xml:space="preserve">Parqueadero</t>
  </si>
  <si>
    <t xml:space="preserve">Concierto/evento</t>
  </si>
  <si>
    <t xml:space="preserve">Gasolina</t>
  </si>
  <si>
    <t xml:space="preserve">Educación</t>
  </si>
  <si>
    <t xml:space="preserve">Curso online</t>
  </si>
  <si>
    <t xml:space="preserve">Febrero 2026</t>
  </si>
  <si>
    <t xml:space="preserve">Domicilio comida</t>
  </si>
  <si>
    <t xml:space="preserve">Consulta médica</t>
  </si>
  <si>
    <t xml:space="preserve">Salida bar/restaurante</t>
  </si>
  <si>
    <t xml:space="preserve">Gimnasio mensualidad</t>
  </si>
  <si>
    <t xml:space="preserve">Marzo 2026</t>
  </si>
  <si>
    <t xml:space="preserve">Panadería</t>
  </si>
  <si>
    <t xml:space="preserve">Uber/Didi</t>
  </si>
  <si>
    <t xml:space="preserve">Matrícula/mensualidad academia</t>
  </si>
  <si>
    <t xml:space="preserve">Abril 2026</t>
  </si>
  <si>
    <t xml:space="preserve">Mayo 2026</t>
  </si>
  <si>
    <t xml:space="preserve">Junio 2026</t>
  </si>
  <si>
    <t xml:space="preserve">Control de Gastos Personales — Análisis con IA en Excel</t>
  </si>
  <si>
    <t xml:space="preserve">Pregunta clave: ¿En qué mes se concentran los mayores gastos, qué categoría los impulsa y cómo se proyecta el gasto del próximo mes?</t>
  </si>
  <si>
    <t xml:space="preserve">Total</t>
  </si>
  <si>
    <t xml:space="preserve">N° Mes</t>
  </si>
  <si>
    <t xml:space="preserve">Julio 2026 (Proyección)</t>
  </si>
  <si>
    <t xml:space="preserve">Total por categoría (6 meses)</t>
  </si>
  <si>
    <t xml:space="preserve">Análisis Automático (Insights tipo IA)</t>
  </si>
  <si>
    <t xml:space="preserve">Mes con mayor gasto real:</t>
  </si>
  <si>
    <t xml:space="preserve">Monto de ese mes:</t>
  </si>
  <si>
    <t xml:space="preserve">Categoría dominante (6 meses):</t>
  </si>
  <si>
    <t xml:space="preserve">Gasto total proyectado (Jul-2026):</t>
  </si>
  <si>
    <t xml:space="preserve">Variación proyectada vs. mes anterior:</t>
  </si>
  <si>
    <t xml:space="preserve">Tendencia mensual (pendiente $):</t>
  </si>
  <si>
    <t xml:space="preserve">Interpretación automática:</t>
  </si>
  <si>
    <t xml:space="preserve">Documentación del Proyecto</t>
  </si>
  <si>
    <t xml:space="preserve">Tema elegido</t>
  </si>
  <si>
    <t xml:space="preserve">Control de gastos personales.</t>
  </si>
  <si>
    <t xml:space="preserve">Pregunta clave</t>
  </si>
  <si>
    <t xml:space="preserve">¿En qué mes se concentran los mayores gastos, qué categoría los impulsa y cómo se proyecta el gasto del próximo mes?</t>
  </si>
  <si>
    <t xml:space="preserve">Fuente de datos</t>
  </si>
  <si>
    <t xml:space="preserve">Datos simulados con fines educativos (89 transacciones), generados con un patrón realista de gastos mensuales de un hogar en Colombia (COP) entre enero y junio de 2026, incluyendo una leve tendencia inflacionaria mensual.</t>
  </si>
  <si>
    <t xml:space="preserve">Funciones / herramientas de IA usadas</t>
  </si>
  <si>
    <t xml:space="preserve">SUMIFS (agregación dinámica), FORECAST (función predictiva de regresión lineal, equivalente a 'Pronóstico' de Excel), SLOPE (cálculo de tendencia), INDEX/MATCH (identificación automática de insights), fórmulas de texto dinámicas para generar una interpretación automática similar a 'Ideas de Excel', y gráficos automáticos (barras apiladas y línea de tendencia).</t>
  </si>
  <si>
    <t xml:space="preserve">Conclusiones del análisis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</si>
</sst>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color rgb="FFC2410C"/>
      <name val="Arial"/>
      <family val="0"/>
      <charset val="1"/>
    </font>
    <font>
      <b val="true"/>
      <sz val="11"/>
      <color rgb="FF6B21A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6B21A8"/>
      <name val="Arial"/>
      <family val="0"/>
      <charset val="1"/>
    </font>
    <font>
      <i val="true"/>
      <sz val="11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6B21A8"/>
        <bgColor rgb="FF800080"/>
      </patternFill>
    </fill>
    <fill>
      <patternFill patternType="solid">
        <fgColor rgb="FF0F766E"/>
        <bgColor rgb="FF008080"/>
      </patternFill>
    </fill>
    <fill>
      <patternFill patternType="solid">
        <fgColor rgb="FFFFF7ED"/>
        <bgColor rgb="FFF3F4F6"/>
      </patternFill>
    </fill>
    <fill>
      <patternFill patternType="solid">
        <fgColor rgb="FFF3F4F6"/>
        <bgColor rgb="FFFFF7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B21A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B21A8"/>
      <rgbColor rgb="FF0F766E"/>
      <rgbColor rgb="FFD9D9D9"/>
      <rgbColor rgb="FF878787"/>
      <rgbColor rgb="FF9999FF"/>
      <rgbColor rgb="FFC0504D"/>
      <rgbColor rgb="FFFFF7ED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4F81BD"/>
      <rgbColor rgb="FF003300"/>
      <rgbColor rgb="FF333300"/>
      <rgbColor rgb="FFC2410C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mensuales por categoría (real + proyección)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Resumen_IA!B4</c:f>
              <c:strCache>
                <c:ptCount val="1"/>
                <c:pt idx="0">
                  <c:v>Vivienda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Resumen_IA!$A$5:$A$11</c:f>
              <c:strCache>
                <c:ptCount val="7"/>
                <c:pt idx="0">
                  <c:v>Enero 2026</c:v>
                </c:pt>
                <c:pt idx="1">
                  <c:v>Febrero 2026</c:v>
                </c:pt>
                <c:pt idx="2">
                  <c:v>Marzo 2026</c:v>
                </c:pt>
                <c:pt idx="3">
                  <c:v>Abril 2026</c:v>
                </c:pt>
                <c:pt idx="4">
                  <c:v>Mayo 2026</c:v>
                </c:pt>
                <c:pt idx="5">
                  <c:v>Junio 2026</c:v>
                </c:pt>
                <c:pt idx="6">
                  <c:v>Julio 2026 (Proyección)</c:v>
                </c:pt>
              </c:strCache>
            </c:strRef>
          </c:cat>
          <c:val>
            <c:numRef>
              <c:f>Resumen_IA!$B$5:$B$11</c:f>
              <c:numCache>
                <c:formatCode>\$#,##0</c:formatCode>
                <c:ptCount val="7"/>
                <c:pt idx="0">
                  <c:v>1430000</c:v>
                </c:pt>
                <c:pt idx="1">
                  <c:v>1465000</c:v>
                </c:pt>
                <c:pt idx="2">
                  <c:v>1501000</c:v>
                </c:pt>
                <c:pt idx="3">
                  <c:v>1344000</c:v>
                </c:pt>
                <c:pt idx="4">
                  <c:v>1375000</c:v>
                </c:pt>
                <c:pt idx="5">
                  <c:v>1608000</c:v>
                </c:pt>
                <c:pt idx="6">
                  <c:v>1500133.33333333</c:v>
                </c:pt>
              </c:numCache>
            </c:numRef>
          </c:val>
        </c:ser>
        <c:ser>
          <c:idx val="1"/>
          <c:order val="1"/>
          <c:tx>
            <c:strRef>
              <c:f>Resumen_IA!C4</c:f>
              <c:strCache>
                <c:ptCount val="1"/>
                <c:pt idx="0">
                  <c:v>Alimentación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Resumen_IA!$A$5:$A$11</c:f>
              <c:strCache>
                <c:ptCount val="7"/>
                <c:pt idx="0">
                  <c:v>Enero 2026</c:v>
                </c:pt>
                <c:pt idx="1">
                  <c:v>Febrero 2026</c:v>
                </c:pt>
                <c:pt idx="2">
                  <c:v>Marzo 2026</c:v>
                </c:pt>
                <c:pt idx="3">
                  <c:v>Abril 2026</c:v>
                </c:pt>
                <c:pt idx="4">
                  <c:v>Mayo 2026</c:v>
                </c:pt>
                <c:pt idx="5">
                  <c:v>Junio 2026</c:v>
                </c:pt>
                <c:pt idx="6">
                  <c:v>Julio 2026 (Proyección)</c:v>
                </c:pt>
              </c:strCache>
            </c:strRef>
          </c:cat>
          <c:val>
            <c:numRef>
              <c:f>Resumen_IA!$C$5:$C$11</c:f>
              <c:numCache>
                <c:formatCode>\$#,##0</c:formatCode>
                <c:ptCount val="7"/>
                <c:pt idx="0">
                  <c:v>376000</c:v>
                </c:pt>
                <c:pt idx="1">
                  <c:v>412000</c:v>
                </c:pt>
                <c:pt idx="2">
                  <c:v>542000</c:v>
                </c:pt>
                <c:pt idx="3">
                  <c:v>402000</c:v>
                </c:pt>
                <c:pt idx="4">
                  <c:v>430000</c:v>
                </c:pt>
                <c:pt idx="5">
                  <c:v>385000</c:v>
                </c:pt>
                <c:pt idx="6">
                  <c:v>420400</c:v>
                </c:pt>
              </c:numCache>
            </c:numRef>
          </c:val>
        </c:ser>
        <c:ser>
          <c:idx val="2"/>
          <c:order val="2"/>
          <c:tx>
            <c:strRef>
              <c:f>Resumen_IA!D4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Resumen_IA!$A$5:$A$11</c:f>
              <c:strCache>
                <c:ptCount val="7"/>
                <c:pt idx="0">
                  <c:v>Enero 2026</c:v>
                </c:pt>
                <c:pt idx="1">
                  <c:v>Febrero 2026</c:v>
                </c:pt>
                <c:pt idx="2">
                  <c:v>Marzo 2026</c:v>
                </c:pt>
                <c:pt idx="3">
                  <c:v>Abril 2026</c:v>
                </c:pt>
                <c:pt idx="4">
                  <c:v>Mayo 2026</c:v>
                </c:pt>
                <c:pt idx="5">
                  <c:v>Junio 2026</c:v>
                </c:pt>
                <c:pt idx="6">
                  <c:v>Julio 2026 (Proyección)</c:v>
                </c:pt>
              </c:strCache>
            </c:strRef>
          </c:cat>
          <c:val>
            <c:numRef>
              <c:f>Resumen_IA!$D$5:$D$11</c:f>
              <c:numCache>
                <c:formatCode>\$#,##0</c:formatCode>
                <c:ptCount val="7"/>
                <c:pt idx="0">
                  <c:v>163000</c:v>
                </c:pt>
                <c:pt idx="1">
                  <c:v>95000</c:v>
                </c:pt>
                <c:pt idx="2">
                  <c:v>159000</c:v>
                </c:pt>
                <c:pt idx="3">
                  <c:v>65000</c:v>
                </c:pt>
                <c:pt idx="4">
                  <c:v>109000</c:v>
                </c:pt>
                <c:pt idx="5">
                  <c:v>117000</c:v>
                </c:pt>
                <c:pt idx="6">
                  <c:v>89800</c:v>
                </c:pt>
              </c:numCache>
            </c:numRef>
          </c:val>
        </c:ser>
        <c:ser>
          <c:idx val="3"/>
          <c:order val="3"/>
          <c:tx>
            <c:strRef>
              <c:f>Resumen_IA!E4</c:f>
              <c:strCache>
                <c:ptCount val="1"/>
                <c:pt idx="0">
                  <c:v>Entretenimiento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Resumen_IA!$A$5:$A$11</c:f>
              <c:strCache>
                <c:ptCount val="7"/>
                <c:pt idx="0">
                  <c:v>Enero 2026</c:v>
                </c:pt>
                <c:pt idx="1">
                  <c:v>Febrero 2026</c:v>
                </c:pt>
                <c:pt idx="2">
                  <c:v>Marzo 2026</c:v>
                </c:pt>
                <c:pt idx="3">
                  <c:v>Abril 2026</c:v>
                </c:pt>
                <c:pt idx="4">
                  <c:v>Mayo 2026</c:v>
                </c:pt>
                <c:pt idx="5">
                  <c:v>Junio 2026</c:v>
                </c:pt>
                <c:pt idx="6">
                  <c:v>Julio 2026 (Proyección)</c:v>
                </c:pt>
              </c:strCache>
            </c:strRef>
          </c:cat>
          <c:val>
            <c:numRef>
              <c:f>Resumen_IA!$E$5:$E$11</c:f>
              <c:numCache>
                <c:formatCode>\$#,##0</c:formatCode>
                <c:ptCount val="7"/>
                <c:pt idx="0">
                  <c:v>173000</c:v>
                </c:pt>
                <c:pt idx="1">
                  <c:v>184000</c:v>
                </c:pt>
                <c:pt idx="2">
                  <c:v>192000</c:v>
                </c:pt>
                <c:pt idx="3">
                  <c:v>144000</c:v>
                </c:pt>
                <c:pt idx="4">
                  <c:v>259000</c:v>
                </c:pt>
                <c:pt idx="5">
                  <c:v>163000</c:v>
                </c:pt>
                <c:pt idx="6">
                  <c:v>198533.333333333</c:v>
                </c:pt>
              </c:numCache>
            </c:numRef>
          </c:val>
        </c:ser>
        <c:ser>
          <c:idx val="4"/>
          <c:order val="4"/>
          <c:tx>
            <c:strRef>
              <c:f>Resumen_IA!F4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Resumen_IA!$A$5:$A$11</c:f>
              <c:strCache>
                <c:ptCount val="7"/>
                <c:pt idx="0">
                  <c:v>Enero 2026</c:v>
                </c:pt>
                <c:pt idx="1">
                  <c:v>Febrero 2026</c:v>
                </c:pt>
                <c:pt idx="2">
                  <c:v>Marzo 2026</c:v>
                </c:pt>
                <c:pt idx="3">
                  <c:v>Abril 2026</c:v>
                </c:pt>
                <c:pt idx="4">
                  <c:v>Mayo 2026</c:v>
                </c:pt>
                <c:pt idx="5">
                  <c:v>Junio 2026</c:v>
                </c:pt>
                <c:pt idx="6">
                  <c:v>Julio 2026 (Proyección)</c:v>
                </c:pt>
              </c:strCache>
            </c:strRef>
          </c:cat>
          <c:val>
            <c:numRef>
              <c:f>Resumen_IA!$F$5:$F$11</c:f>
              <c:numCache>
                <c:formatCode>\$#,##0</c:formatCode>
                <c:ptCount val="7"/>
                <c:pt idx="0">
                  <c:v>312000</c:v>
                </c:pt>
                <c:pt idx="1">
                  <c:v>57000</c:v>
                </c:pt>
                <c:pt idx="2">
                  <c:v>167000</c:v>
                </c:pt>
                <c:pt idx="3">
                  <c:v>350000</c:v>
                </c:pt>
                <c:pt idx="4">
                  <c:v>41000</c:v>
                </c:pt>
                <c:pt idx="5">
                  <c:v>118000</c:v>
                </c:pt>
                <c:pt idx="6">
                  <c:v>90666.6666666667</c:v>
                </c:pt>
              </c:numCache>
            </c:numRef>
          </c:val>
        </c:ser>
        <c:ser>
          <c:idx val="5"/>
          <c:order val="5"/>
          <c:tx>
            <c:strRef>
              <c:f>Resumen_IA!G4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Resumen_IA!$A$5:$A$11</c:f>
              <c:strCache>
                <c:ptCount val="7"/>
                <c:pt idx="0">
                  <c:v>Enero 2026</c:v>
                </c:pt>
                <c:pt idx="1">
                  <c:v>Febrero 2026</c:v>
                </c:pt>
                <c:pt idx="2">
                  <c:v>Marzo 2026</c:v>
                </c:pt>
                <c:pt idx="3">
                  <c:v>Abril 2026</c:v>
                </c:pt>
                <c:pt idx="4">
                  <c:v>Mayo 2026</c:v>
                </c:pt>
                <c:pt idx="5">
                  <c:v>Junio 2026</c:v>
                </c:pt>
                <c:pt idx="6">
                  <c:v>Julio 2026 (Proyección)</c:v>
                </c:pt>
              </c:strCache>
            </c:strRef>
          </c:cat>
          <c:val>
            <c:numRef>
              <c:f>Resumen_IA!$G$5:$G$11</c:f>
              <c:numCache>
                <c:formatCode>\$#,##0</c:formatCode>
                <c:ptCount val="7"/>
                <c:pt idx="0">
                  <c:v>84000</c:v>
                </c:pt>
                <c:pt idx="1">
                  <c:v>103000</c:v>
                </c:pt>
                <c:pt idx="2">
                  <c:v>241000</c:v>
                </c:pt>
                <c:pt idx="3">
                  <c:v>74000</c:v>
                </c:pt>
                <c:pt idx="4">
                  <c:v>186000</c:v>
                </c:pt>
                <c:pt idx="5">
                  <c:v>119000</c:v>
                </c:pt>
                <c:pt idx="6">
                  <c:v>160200</c:v>
                </c:pt>
              </c:numCache>
            </c:numRef>
          </c:val>
        </c:ser>
        <c:gapWidth val="150"/>
        <c:overlap val="100"/>
        <c:axId val="97671490"/>
        <c:axId val="49229565"/>
      </c:barChart>
      <c:catAx>
        <c:axId val="976714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29565"/>
        <c:crosses val="autoZero"/>
        <c:auto val="1"/>
        <c:lblAlgn val="ctr"/>
        <c:lblOffset val="100"/>
        <c:noMultiLvlLbl val="0"/>
      </c:catAx>
      <c:valAx>
        <c:axId val="49229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(COP)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714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Tendencia y proyección del gasto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Resumen_IA!H4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Resumen_IA!$A$5:$A$11</c:f>
              <c:strCache>
                <c:ptCount val="7"/>
                <c:pt idx="0">
                  <c:v>Enero 2026</c:v>
                </c:pt>
                <c:pt idx="1">
                  <c:v>Febrero 2026</c:v>
                </c:pt>
                <c:pt idx="2">
                  <c:v>Marzo 2026</c:v>
                </c:pt>
                <c:pt idx="3">
                  <c:v>Abril 2026</c:v>
                </c:pt>
                <c:pt idx="4">
                  <c:v>Mayo 2026</c:v>
                </c:pt>
                <c:pt idx="5">
                  <c:v>Junio 2026</c:v>
                </c:pt>
                <c:pt idx="6">
                  <c:v>Julio 2026 (Proyección)</c:v>
                </c:pt>
              </c:strCache>
            </c:strRef>
          </c:cat>
          <c:val>
            <c:numRef>
              <c:f>Resumen_IA!$H$5:$H$11</c:f>
              <c:numCache>
                <c:formatCode>\$#,##0</c:formatCode>
                <c:ptCount val="7"/>
                <c:pt idx="0">
                  <c:v>2538000</c:v>
                </c:pt>
                <c:pt idx="1">
                  <c:v>2316000</c:v>
                </c:pt>
                <c:pt idx="2">
                  <c:v>2802000</c:v>
                </c:pt>
                <c:pt idx="3">
                  <c:v>2379000</c:v>
                </c:pt>
                <c:pt idx="4">
                  <c:v>2400000</c:v>
                </c:pt>
                <c:pt idx="5">
                  <c:v>2510000</c:v>
                </c:pt>
                <c:pt idx="6">
                  <c:v>2459733.33333333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519037"/>
        <c:axId val="70492860"/>
      </c:lineChart>
      <c:catAx>
        <c:axId val="145190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92860"/>
        <c:crosses val="autoZero"/>
        <c:auto val="1"/>
        <c:lblAlgn val="ctr"/>
        <c:lblOffset val="100"/>
        <c:noMultiLvlLbl val="0"/>
      </c:catAx>
      <c:valAx>
        <c:axId val="70492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total (COP)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190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21</xdr:col>
      <xdr:colOff>473040</xdr:colOff>
      <xdr:row>18</xdr:row>
      <xdr:rowOff>145800</xdr:rowOff>
    </xdr:to>
    <xdr:graphicFrame>
      <xdr:nvGraphicFramePr>
        <xdr:cNvPr id="0" name="Chart 1"/>
        <xdr:cNvGraphicFramePr/>
      </xdr:nvGraphicFramePr>
      <xdr:xfrm>
        <a:off x="10902240" y="8953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22</xdr:row>
      <xdr:rowOff>40320</xdr:rowOff>
    </xdr:from>
    <xdr:to>
      <xdr:col>21</xdr:col>
      <xdr:colOff>473040</xdr:colOff>
      <xdr:row>39</xdr:row>
      <xdr:rowOff>41400</xdr:rowOff>
    </xdr:to>
    <xdr:graphicFrame>
      <xdr:nvGraphicFramePr>
        <xdr:cNvPr id="1" name="Chart 2"/>
        <xdr:cNvGraphicFramePr/>
      </xdr:nvGraphicFramePr>
      <xdr:xfrm>
        <a:off x="10902240" y="47912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Gastos" displayName="TablaGastos" ref="A1:E90" headerRowCount="1" totalsRowCount="0" totalsRowShown="0">
  <autoFilter ref="A1:E90"/>
  <tableColumns count="5">
    <tableColumn id="1" name="Fecha"/>
    <tableColumn id="2" name="Categoría"/>
    <tableColumn id="3" name="Descripción"/>
    <tableColumn id="4" name="Monto"/>
    <tableColumn id="5" name="M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46023</v>
      </c>
      <c r="B2" s="3" t="s">
        <v>5</v>
      </c>
      <c r="C2" s="3" t="s">
        <v>6</v>
      </c>
      <c r="D2" s="4" t="n">
        <v>1250000</v>
      </c>
      <c r="E2" s="3" t="s">
        <v>7</v>
      </c>
    </row>
    <row r="3" customFormat="false" ht="15" hidden="false" customHeight="false" outlineLevel="0" collapsed="false">
      <c r="A3" s="2" t="n">
        <v>46024</v>
      </c>
      <c r="B3" s="3" t="s">
        <v>8</v>
      </c>
      <c r="C3" s="3" t="s">
        <v>9</v>
      </c>
      <c r="D3" s="4" t="n">
        <v>114000</v>
      </c>
      <c r="E3" s="3" t="s">
        <v>7</v>
      </c>
    </row>
    <row r="4" customFormat="false" ht="15" hidden="false" customHeight="false" outlineLevel="0" collapsed="false">
      <c r="A4" s="2" t="n">
        <v>46026</v>
      </c>
      <c r="B4" s="3" t="s">
        <v>10</v>
      </c>
      <c r="C4" s="3" t="s">
        <v>11</v>
      </c>
      <c r="D4" s="4" t="n">
        <v>38000</v>
      </c>
      <c r="E4" s="3" t="s">
        <v>7</v>
      </c>
    </row>
    <row r="5" customFormat="false" ht="15" hidden="false" customHeight="false" outlineLevel="0" collapsed="false">
      <c r="A5" s="2" t="n">
        <v>46027</v>
      </c>
      <c r="B5" s="3" t="s">
        <v>5</v>
      </c>
      <c r="C5" s="3" t="s">
        <v>12</v>
      </c>
      <c r="D5" s="4" t="n">
        <v>180000</v>
      </c>
      <c r="E5" s="3" t="s">
        <v>7</v>
      </c>
    </row>
    <row r="6" customFormat="false" ht="15" hidden="false" customHeight="false" outlineLevel="0" collapsed="false">
      <c r="A6" s="2" t="n">
        <v>46029</v>
      </c>
      <c r="B6" s="3" t="s">
        <v>10</v>
      </c>
      <c r="C6" s="3" t="s">
        <v>11</v>
      </c>
      <c r="D6" s="4" t="n">
        <v>20000</v>
      </c>
      <c r="E6" s="3" t="s">
        <v>7</v>
      </c>
    </row>
    <row r="7" customFormat="false" ht="15" hidden="false" customHeight="false" outlineLevel="0" collapsed="false">
      <c r="A7" s="2" t="n">
        <v>46030</v>
      </c>
      <c r="B7" s="3" t="s">
        <v>8</v>
      </c>
      <c r="C7" s="3" t="s">
        <v>13</v>
      </c>
      <c r="D7" s="4" t="n">
        <v>35000</v>
      </c>
      <c r="E7" s="3" t="s">
        <v>7</v>
      </c>
    </row>
    <row r="8" customFormat="false" ht="15" hidden="false" customHeight="false" outlineLevel="0" collapsed="false">
      <c r="A8" s="2" t="n">
        <v>46030</v>
      </c>
      <c r="B8" s="3" t="s">
        <v>8</v>
      </c>
      <c r="C8" s="3" t="s">
        <v>14</v>
      </c>
      <c r="D8" s="4" t="n">
        <v>24000</v>
      </c>
      <c r="E8" s="3" t="s">
        <v>7</v>
      </c>
    </row>
    <row r="9" customFormat="false" ht="15" hidden="false" customHeight="false" outlineLevel="0" collapsed="false">
      <c r="A9" s="2" t="n">
        <v>46035</v>
      </c>
      <c r="B9" s="3" t="s">
        <v>15</v>
      </c>
      <c r="C9" s="3" t="s">
        <v>16</v>
      </c>
      <c r="D9" s="4" t="n">
        <v>89000</v>
      </c>
      <c r="E9" s="3" t="s">
        <v>7</v>
      </c>
    </row>
    <row r="10" customFormat="false" ht="15" hidden="false" customHeight="false" outlineLevel="0" collapsed="false">
      <c r="A10" s="2" t="n">
        <v>46040</v>
      </c>
      <c r="B10" s="3" t="s">
        <v>8</v>
      </c>
      <c r="C10" s="3" t="s">
        <v>9</v>
      </c>
      <c r="D10" s="4" t="n">
        <v>134000</v>
      </c>
      <c r="E10" s="3" t="s">
        <v>7</v>
      </c>
    </row>
    <row r="11" customFormat="false" ht="15" hidden="false" customHeight="false" outlineLevel="0" collapsed="false">
      <c r="A11" s="2" t="n">
        <v>46041</v>
      </c>
      <c r="B11" s="3" t="s">
        <v>17</v>
      </c>
      <c r="C11" s="3" t="s">
        <v>18</v>
      </c>
      <c r="D11" s="4" t="n">
        <v>196000</v>
      </c>
      <c r="E11" s="3" t="s">
        <v>7</v>
      </c>
    </row>
    <row r="12" customFormat="false" ht="15" hidden="false" customHeight="false" outlineLevel="0" collapsed="false">
      <c r="A12" s="2" t="n">
        <v>46044</v>
      </c>
      <c r="B12" s="3" t="s">
        <v>17</v>
      </c>
      <c r="C12" s="3" t="s">
        <v>18</v>
      </c>
      <c r="D12" s="4" t="n">
        <v>116000</v>
      </c>
      <c r="E12" s="3" t="s">
        <v>7</v>
      </c>
    </row>
    <row r="13" customFormat="false" ht="15" hidden="false" customHeight="false" outlineLevel="0" collapsed="false">
      <c r="A13" s="2" t="n">
        <v>46045</v>
      </c>
      <c r="B13" s="3" t="s">
        <v>8</v>
      </c>
      <c r="C13" s="3" t="s">
        <v>14</v>
      </c>
      <c r="D13" s="4" t="n">
        <v>69000</v>
      </c>
      <c r="E13" s="3" t="s">
        <v>7</v>
      </c>
    </row>
    <row r="14" customFormat="false" ht="15" hidden="false" customHeight="false" outlineLevel="0" collapsed="false">
      <c r="A14" s="2" t="n">
        <v>46045</v>
      </c>
      <c r="B14" s="3" t="s">
        <v>10</v>
      </c>
      <c r="C14" s="3" t="s">
        <v>19</v>
      </c>
      <c r="D14" s="4" t="n">
        <v>36000</v>
      </c>
      <c r="E14" s="3" t="s">
        <v>7</v>
      </c>
    </row>
    <row r="15" customFormat="false" ht="15" hidden="false" customHeight="false" outlineLevel="0" collapsed="false">
      <c r="A15" s="2" t="n">
        <v>46046</v>
      </c>
      <c r="B15" s="3" t="s">
        <v>15</v>
      </c>
      <c r="C15" s="3" t="s">
        <v>20</v>
      </c>
      <c r="D15" s="4" t="n">
        <v>84000</v>
      </c>
      <c r="E15" s="3" t="s">
        <v>7</v>
      </c>
    </row>
    <row r="16" customFormat="false" ht="15" hidden="false" customHeight="false" outlineLevel="0" collapsed="false">
      <c r="A16" s="2" t="n">
        <v>46048</v>
      </c>
      <c r="B16" s="3" t="s">
        <v>10</v>
      </c>
      <c r="C16" s="3" t="s">
        <v>21</v>
      </c>
      <c r="D16" s="4" t="n">
        <v>69000</v>
      </c>
      <c r="E16" s="3" t="s">
        <v>7</v>
      </c>
    </row>
    <row r="17" customFormat="false" ht="15" hidden="false" customHeight="false" outlineLevel="0" collapsed="false">
      <c r="A17" s="2" t="n">
        <v>46050</v>
      </c>
      <c r="B17" s="3" t="s">
        <v>22</v>
      </c>
      <c r="C17" s="3" t="s">
        <v>23</v>
      </c>
      <c r="D17" s="4" t="n">
        <v>84000</v>
      </c>
      <c r="E17" s="3" t="s">
        <v>7</v>
      </c>
    </row>
    <row r="18" customFormat="false" ht="15" hidden="false" customHeight="false" outlineLevel="0" collapsed="false">
      <c r="A18" s="2" t="n">
        <v>46057</v>
      </c>
      <c r="B18" s="3" t="s">
        <v>5</v>
      </c>
      <c r="C18" s="3" t="s">
        <v>6</v>
      </c>
      <c r="D18" s="4" t="n">
        <v>1281000</v>
      </c>
      <c r="E18" s="3" t="s">
        <v>24</v>
      </c>
    </row>
    <row r="19" customFormat="false" ht="15" hidden="false" customHeight="false" outlineLevel="0" collapsed="false">
      <c r="A19" s="2" t="n">
        <v>46059</v>
      </c>
      <c r="B19" s="3" t="s">
        <v>5</v>
      </c>
      <c r="C19" s="3" t="s">
        <v>12</v>
      </c>
      <c r="D19" s="4" t="n">
        <v>184000</v>
      </c>
      <c r="E19" s="3" t="s">
        <v>24</v>
      </c>
    </row>
    <row r="20" customFormat="false" ht="15" hidden="false" customHeight="false" outlineLevel="0" collapsed="false">
      <c r="A20" s="2" t="n">
        <v>46059</v>
      </c>
      <c r="B20" s="3" t="s">
        <v>8</v>
      </c>
      <c r="C20" s="3" t="s">
        <v>14</v>
      </c>
      <c r="D20" s="4" t="n">
        <v>48000</v>
      </c>
      <c r="E20" s="3" t="s">
        <v>24</v>
      </c>
    </row>
    <row r="21" customFormat="false" ht="15" hidden="false" customHeight="false" outlineLevel="0" collapsed="false">
      <c r="A21" s="2" t="n">
        <v>46060</v>
      </c>
      <c r="B21" s="3" t="s">
        <v>10</v>
      </c>
      <c r="C21" s="3" t="s">
        <v>11</v>
      </c>
      <c r="D21" s="4" t="n">
        <v>31000</v>
      </c>
      <c r="E21" s="3" t="s">
        <v>24</v>
      </c>
    </row>
    <row r="22" customFormat="false" ht="15" hidden="false" customHeight="false" outlineLevel="0" collapsed="false">
      <c r="A22" s="2" t="n">
        <v>46065</v>
      </c>
      <c r="B22" s="3" t="s">
        <v>8</v>
      </c>
      <c r="C22" s="3" t="s">
        <v>25</v>
      </c>
      <c r="D22" s="4" t="n">
        <v>51000</v>
      </c>
      <c r="E22" s="3" t="s">
        <v>24</v>
      </c>
    </row>
    <row r="23" customFormat="false" ht="15" hidden="false" customHeight="false" outlineLevel="0" collapsed="false">
      <c r="A23" s="2" t="n">
        <v>46066</v>
      </c>
      <c r="B23" s="3" t="s">
        <v>8</v>
      </c>
      <c r="C23" s="3" t="s">
        <v>25</v>
      </c>
      <c r="D23" s="4" t="n">
        <v>53000</v>
      </c>
      <c r="E23" s="3" t="s">
        <v>24</v>
      </c>
    </row>
    <row r="24" customFormat="false" ht="15" hidden="false" customHeight="false" outlineLevel="0" collapsed="false">
      <c r="A24" s="2" t="n">
        <v>46066</v>
      </c>
      <c r="B24" s="3" t="s">
        <v>10</v>
      </c>
      <c r="C24" s="3" t="s">
        <v>19</v>
      </c>
      <c r="D24" s="4" t="n">
        <v>24000</v>
      </c>
      <c r="E24" s="3" t="s">
        <v>24</v>
      </c>
    </row>
    <row r="25" customFormat="false" ht="15" hidden="false" customHeight="false" outlineLevel="0" collapsed="false">
      <c r="A25" s="2" t="n">
        <v>46070</v>
      </c>
      <c r="B25" s="3" t="s">
        <v>17</v>
      </c>
      <c r="C25" s="3" t="s">
        <v>26</v>
      </c>
      <c r="D25" s="4" t="n">
        <v>57000</v>
      </c>
      <c r="E25" s="3" t="s">
        <v>24</v>
      </c>
    </row>
    <row r="26" customFormat="false" ht="15" hidden="false" customHeight="false" outlineLevel="0" collapsed="false">
      <c r="A26" s="2" t="n">
        <v>46072</v>
      </c>
      <c r="B26" s="3" t="s">
        <v>15</v>
      </c>
      <c r="C26" s="3" t="s">
        <v>20</v>
      </c>
      <c r="D26" s="4" t="n">
        <v>64000</v>
      </c>
      <c r="E26" s="3" t="s">
        <v>24</v>
      </c>
    </row>
    <row r="27" customFormat="false" ht="15" hidden="false" customHeight="false" outlineLevel="0" collapsed="false">
      <c r="A27" s="2" t="n">
        <v>46076</v>
      </c>
      <c r="B27" s="3" t="s">
        <v>8</v>
      </c>
      <c r="C27" s="3" t="s">
        <v>9</v>
      </c>
      <c r="D27" s="4" t="n">
        <v>138000</v>
      </c>
      <c r="E27" s="3" t="s">
        <v>24</v>
      </c>
    </row>
    <row r="28" customFormat="false" ht="15" hidden="false" customHeight="false" outlineLevel="0" collapsed="false">
      <c r="A28" s="2" t="n">
        <v>46077</v>
      </c>
      <c r="B28" s="3" t="s">
        <v>15</v>
      </c>
      <c r="C28" s="3" t="s">
        <v>27</v>
      </c>
      <c r="D28" s="4" t="n">
        <v>120000</v>
      </c>
      <c r="E28" s="3" t="s">
        <v>24</v>
      </c>
    </row>
    <row r="29" customFormat="false" ht="15" hidden="false" customHeight="false" outlineLevel="0" collapsed="false">
      <c r="A29" s="2" t="n">
        <v>46079</v>
      </c>
      <c r="B29" s="3" t="s">
        <v>10</v>
      </c>
      <c r="C29" s="3" t="s">
        <v>11</v>
      </c>
      <c r="D29" s="4" t="n">
        <v>40000</v>
      </c>
      <c r="E29" s="3" t="s">
        <v>24</v>
      </c>
    </row>
    <row r="30" customFormat="false" ht="15" hidden="false" customHeight="false" outlineLevel="0" collapsed="false">
      <c r="A30" s="2" t="n">
        <v>46080</v>
      </c>
      <c r="B30" s="3" t="s">
        <v>8</v>
      </c>
      <c r="C30" s="3" t="s">
        <v>9</v>
      </c>
      <c r="D30" s="4" t="n">
        <v>122000</v>
      </c>
      <c r="E30" s="3" t="s">
        <v>24</v>
      </c>
    </row>
    <row r="31" customFormat="false" ht="15" hidden="false" customHeight="false" outlineLevel="0" collapsed="false">
      <c r="A31" s="2" t="n">
        <v>46081</v>
      </c>
      <c r="B31" s="3" t="s">
        <v>22</v>
      </c>
      <c r="C31" s="3" t="s">
        <v>23</v>
      </c>
      <c r="D31" s="4" t="n">
        <v>103000</v>
      </c>
      <c r="E31" s="3" t="s">
        <v>24</v>
      </c>
    </row>
    <row r="32" customFormat="false" ht="15" hidden="false" customHeight="false" outlineLevel="0" collapsed="false">
      <c r="A32" s="2" t="n">
        <v>46084</v>
      </c>
      <c r="B32" s="3" t="s">
        <v>17</v>
      </c>
      <c r="C32" s="3" t="s">
        <v>28</v>
      </c>
      <c r="D32" s="4" t="n">
        <v>167000</v>
      </c>
      <c r="E32" s="3" t="s">
        <v>29</v>
      </c>
    </row>
    <row r="33" customFormat="false" ht="15" hidden="false" customHeight="false" outlineLevel="0" collapsed="false">
      <c r="A33" s="2" t="n">
        <v>46085</v>
      </c>
      <c r="B33" s="3" t="s">
        <v>5</v>
      </c>
      <c r="C33" s="3" t="s">
        <v>6</v>
      </c>
      <c r="D33" s="4" t="n">
        <v>1312000</v>
      </c>
      <c r="E33" s="3" t="s">
        <v>29</v>
      </c>
    </row>
    <row r="34" customFormat="false" ht="15" hidden="false" customHeight="false" outlineLevel="0" collapsed="false">
      <c r="A34" s="2" t="n">
        <v>46085</v>
      </c>
      <c r="B34" s="3" t="s">
        <v>8</v>
      </c>
      <c r="C34" s="3" t="s">
        <v>14</v>
      </c>
      <c r="D34" s="4" t="n">
        <v>62000</v>
      </c>
      <c r="E34" s="3" t="s">
        <v>29</v>
      </c>
    </row>
    <row r="35" customFormat="false" ht="15" hidden="false" customHeight="false" outlineLevel="0" collapsed="false">
      <c r="A35" s="2" t="n">
        <v>46085</v>
      </c>
      <c r="B35" s="3" t="s">
        <v>15</v>
      </c>
      <c r="C35" s="3" t="s">
        <v>27</v>
      </c>
      <c r="D35" s="4" t="n">
        <v>137000</v>
      </c>
      <c r="E35" s="3" t="s">
        <v>29</v>
      </c>
    </row>
    <row r="36" customFormat="false" ht="15" hidden="false" customHeight="false" outlineLevel="0" collapsed="false">
      <c r="A36" s="2" t="n">
        <v>46087</v>
      </c>
      <c r="B36" s="3" t="s">
        <v>8</v>
      </c>
      <c r="C36" s="3" t="s">
        <v>30</v>
      </c>
      <c r="D36" s="4" t="n">
        <v>24000</v>
      </c>
      <c r="E36" s="3" t="s">
        <v>29</v>
      </c>
    </row>
    <row r="37" customFormat="false" ht="15" hidden="false" customHeight="false" outlineLevel="0" collapsed="false">
      <c r="A37" s="2" t="n">
        <v>46088</v>
      </c>
      <c r="B37" s="3" t="s">
        <v>5</v>
      </c>
      <c r="C37" s="3" t="s">
        <v>12</v>
      </c>
      <c r="D37" s="4" t="n">
        <v>189000</v>
      </c>
      <c r="E37" s="3" t="s">
        <v>29</v>
      </c>
    </row>
    <row r="38" customFormat="false" ht="15" hidden="false" customHeight="false" outlineLevel="0" collapsed="false">
      <c r="A38" s="2" t="n">
        <v>46088</v>
      </c>
      <c r="B38" s="3" t="s">
        <v>10</v>
      </c>
      <c r="C38" s="3" t="s">
        <v>31</v>
      </c>
      <c r="D38" s="4" t="n">
        <v>44000</v>
      </c>
      <c r="E38" s="3" t="s">
        <v>29</v>
      </c>
    </row>
    <row r="39" customFormat="false" ht="15" hidden="false" customHeight="false" outlineLevel="0" collapsed="false">
      <c r="A39" s="2" t="n">
        <v>46089</v>
      </c>
      <c r="B39" s="3" t="s">
        <v>15</v>
      </c>
      <c r="C39" s="3" t="s">
        <v>16</v>
      </c>
      <c r="D39" s="4" t="n">
        <v>55000</v>
      </c>
      <c r="E39" s="3" t="s">
        <v>29</v>
      </c>
    </row>
    <row r="40" customFormat="false" ht="15" hidden="false" customHeight="false" outlineLevel="0" collapsed="false">
      <c r="A40" s="2" t="n">
        <v>46092</v>
      </c>
      <c r="B40" s="3" t="s">
        <v>8</v>
      </c>
      <c r="C40" s="3" t="s">
        <v>9</v>
      </c>
      <c r="D40" s="4" t="n">
        <v>128000</v>
      </c>
      <c r="E40" s="3" t="s">
        <v>29</v>
      </c>
    </row>
    <row r="41" customFormat="false" ht="15" hidden="false" customHeight="false" outlineLevel="0" collapsed="false">
      <c r="A41" s="2" t="n">
        <v>46099</v>
      </c>
      <c r="B41" s="3" t="s">
        <v>8</v>
      </c>
      <c r="C41" s="3" t="s">
        <v>9</v>
      </c>
      <c r="D41" s="4" t="n">
        <v>144000</v>
      </c>
      <c r="E41" s="3" t="s">
        <v>29</v>
      </c>
    </row>
    <row r="42" customFormat="false" ht="15" hidden="false" customHeight="false" outlineLevel="0" collapsed="false">
      <c r="A42" s="2" t="n">
        <v>46099</v>
      </c>
      <c r="B42" s="3" t="s">
        <v>10</v>
      </c>
      <c r="C42" s="3" t="s">
        <v>21</v>
      </c>
      <c r="D42" s="4" t="n">
        <v>55000</v>
      </c>
      <c r="E42" s="3" t="s">
        <v>29</v>
      </c>
    </row>
    <row r="43" customFormat="false" ht="15" hidden="false" customHeight="false" outlineLevel="0" collapsed="false">
      <c r="A43" s="2" t="n">
        <v>46101</v>
      </c>
      <c r="B43" s="3" t="s">
        <v>8</v>
      </c>
      <c r="C43" s="3" t="s">
        <v>30</v>
      </c>
      <c r="D43" s="4" t="n">
        <v>87000</v>
      </c>
      <c r="E43" s="3" t="s">
        <v>29</v>
      </c>
    </row>
    <row r="44" customFormat="false" ht="15" hidden="false" customHeight="false" outlineLevel="0" collapsed="false">
      <c r="A44" s="2" t="n">
        <v>46105</v>
      </c>
      <c r="B44" s="3" t="s">
        <v>8</v>
      </c>
      <c r="C44" s="3" t="s">
        <v>25</v>
      </c>
      <c r="D44" s="4" t="n">
        <v>97000</v>
      </c>
      <c r="E44" s="3" t="s">
        <v>29</v>
      </c>
    </row>
    <row r="45" customFormat="false" ht="15" hidden="false" customHeight="false" outlineLevel="0" collapsed="false">
      <c r="A45" s="2" t="n">
        <v>46106</v>
      </c>
      <c r="B45" s="3" t="s">
        <v>22</v>
      </c>
      <c r="C45" s="3" t="s">
        <v>32</v>
      </c>
      <c r="D45" s="4" t="n">
        <v>241000</v>
      </c>
      <c r="E45" s="3" t="s">
        <v>29</v>
      </c>
    </row>
    <row r="46" customFormat="false" ht="15" hidden="false" customHeight="false" outlineLevel="0" collapsed="false">
      <c r="A46" s="2" t="n">
        <v>46109</v>
      </c>
      <c r="B46" s="3" t="s">
        <v>10</v>
      </c>
      <c r="C46" s="3" t="s">
        <v>11</v>
      </c>
      <c r="D46" s="4" t="n">
        <v>60000</v>
      </c>
      <c r="E46" s="3" t="s">
        <v>29</v>
      </c>
    </row>
    <row r="47" customFormat="false" ht="15" hidden="false" customHeight="false" outlineLevel="0" collapsed="false">
      <c r="A47" s="2" t="n">
        <v>46114</v>
      </c>
      <c r="B47" s="3" t="s">
        <v>10</v>
      </c>
      <c r="C47" s="3" t="s">
        <v>11</v>
      </c>
      <c r="D47" s="4" t="n">
        <v>21000</v>
      </c>
      <c r="E47" s="3" t="s">
        <v>33</v>
      </c>
    </row>
    <row r="48" customFormat="false" ht="15" hidden="false" customHeight="false" outlineLevel="0" collapsed="false">
      <c r="A48" s="2" t="n">
        <v>46115</v>
      </c>
      <c r="B48" s="3" t="s">
        <v>8</v>
      </c>
      <c r="C48" s="3" t="s">
        <v>25</v>
      </c>
      <c r="D48" s="4" t="n">
        <v>25000</v>
      </c>
      <c r="E48" s="3" t="s">
        <v>33</v>
      </c>
    </row>
    <row r="49" customFormat="false" ht="15" hidden="false" customHeight="false" outlineLevel="0" collapsed="false">
      <c r="A49" s="2" t="n">
        <v>46116</v>
      </c>
      <c r="B49" s="3" t="s">
        <v>5</v>
      </c>
      <c r="C49" s="3" t="s">
        <v>6</v>
      </c>
      <c r="D49" s="4" t="n">
        <v>1344000</v>
      </c>
      <c r="E49" s="3" t="s">
        <v>33</v>
      </c>
    </row>
    <row r="50" customFormat="false" ht="15" hidden="false" customHeight="false" outlineLevel="0" collapsed="false">
      <c r="A50" s="2" t="n">
        <v>46121</v>
      </c>
      <c r="B50" s="3" t="s">
        <v>8</v>
      </c>
      <c r="C50" s="3" t="s">
        <v>14</v>
      </c>
      <c r="D50" s="4" t="n">
        <v>92000</v>
      </c>
      <c r="E50" s="3" t="s">
        <v>33</v>
      </c>
    </row>
    <row r="51" customFormat="false" ht="15" hidden="false" customHeight="false" outlineLevel="0" collapsed="false">
      <c r="A51" s="2" t="n">
        <v>46124</v>
      </c>
      <c r="B51" s="3" t="s">
        <v>17</v>
      </c>
      <c r="C51" s="3" t="s">
        <v>26</v>
      </c>
      <c r="D51" s="4" t="n">
        <v>137000</v>
      </c>
      <c r="E51" s="3" t="s">
        <v>33</v>
      </c>
    </row>
    <row r="52" customFormat="false" ht="15" hidden="false" customHeight="false" outlineLevel="0" collapsed="false">
      <c r="A52" s="2" t="n">
        <v>46127</v>
      </c>
      <c r="B52" s="3" t="s">
        <v>8</v>
      </c>
      <c r="C52" s="3" t="s">
        <v>9</v>
      </c>
      <c r="D52" s="4" t="n">
        <v>129000</v>
      </c>
      <c r="E52" s="3" t="s">
        <v>33</v>
      </c>
    </row>
    <row r="53" customFormat="false" ht="15" hidden="false" customHeight="false" outlineLevel="0" collapsed="false">
      <c r="A53" s="2" t="n">
        <v>46130</v>
      </c>
      <c r="B53" s="3" t="s">
        <v>8</v>
      </c>
      <c r="C53" s="3" t="s">
        <v>13</v>
      </c>
      <c r="D53" s="4" t="n">
        <v>63000</v>
      </c>
      <c r="E53" s="3" t="s">
        <v>33</v>
      </c>
    </row>
    <row r="54" customFormat="false" ht="15" hidden="false" customHeight="false" outlineLevel="0" collapsed="false">
      <c r="A54" s="2" t="n">
        <v>46131</v>
      </c>
      <c r="B54" s="3" t="s">
        <v>10</v>
      </c>
      <c r="C54" s="3" t="s">
        <v>31</v>
      </c>
      <c r="D54" s="4" t="n">
        <v>15000</v>
      </c>
      <c r="E54" s="3" t="s">
        <v>33</v>
      </c>
    </row>
    <row r="55" customFormat="false" ht="15" hidden="false" customHeight="false" outlineLevel="0" collapsed="false">
      <c r="A55" s="2" t="n">
        <v>46133</v>
      </c>
      <c r="B55" s="3" t="s">
        <v>10</v>
      </c>
      <c r="C55" s="3" t="s">
        <v>21</v>
      </c>
      <c r="D55" s="4" t="n">
        <v>29000</v>
      </c>
      <c r="E55" s="3" t="s">
        <v>33</v>
      </c>
    </row>
    <row r="56" customFormat="false" ht="15" hidden="false" customHeight="false" outlineLevel="0" collapsed="false">
      <c r="A56" s="2" t="n">
        <v>46133</v>
      </c>
      <c r="B56" s="3" t="s">
        <v>22</v>
      </c>
      <c r="C56" s="3" t="s">
        <v>23</v>
      </c>
      <c r="D56" s="4" t="n">
        <v>74000</v>
      </c>
      <c r="E56" s="3" t="s">
        <v>33</v>
      </c>
    </row>
    <row r="57" customFormat="false" ht="15" hidden="false" customHeight="false" outlineLevel="0" collapsed="false">
      <c r="A57" s="2" t="n">
        <v>46134</v>
      </c>
      <c r="B57" s="3" t="s">
        <v>8</v>
      </c>
      <c r="C57" s="3" t="s">
        <v>25</v>
      </c>
      <c r="D57" s="4" t="n">
        <v>93000</v>
      </c>
      <c r="E57" s="3" t="s">
        <v>33</v>
      </c>
    </row>
    <row r="58" customFormat="false" ht="15" hidden="false" customHeight="false" outlineLevel="0" collapsed="false">
      <c r="A58" s="2" t="n">
        <v>46134</v>
      </c>
      <c r="B58" s="3" t="s">
        <v>15</v>
      </c>
      <c r="C58" s="3" t="s">
        <v>20</v>
      </c>
      <c r="D58" s="4" t="n">
        <v>48000</v>
      </c>
      <c r="E58" s="3" t="s">
        <v>33</v>
      </c>
    </row>
    <row r="59" customFormat="false" ht="15" hidden="false" customHeight="false" outlineLevel="0" collapsed="false">
      <c r="A59" s="2" t="n">
        <v>46136</v>
      </c>
      <c r="B59" s="3" t="s">
        <v>15</v>
      </c>
      <c r="C59" s="3" t="s">
        <v>20</v>
      </c>
      <c r="D59" s="4" t="n">
        <v>55000</v>
      </c>
      <c r="E59" s="3" t="s">
        <v>33</v>
      </c>
    </row>
    <row r="60" customFormat="false" ht="15" hidden="false" customHeight="false" outlineLevel="0" collapsed="false">
      <c r="A60" s="2" t="n">
        <v>46136</v>
      </c>
      <c r="B60" s="3" t="s">
        <v>17</v>
      </c>
      <c r="C60" s="3" t="s">
        <v>18</v>
      </c>
      <c r="D60" s="4" t="n">
        <v>213000</v>
      </c>
      <c r="E60" s="3" t="s">
        <v>33</v>
      </c>
    </row>
    <row r="61" customFormat="false" ht="15" hidden="false" customHeight="false" outlineLevel="0" collapsed="false">
      <c r="A61" s="2" t="n">
        <v>46138</v>
      </c>
      <c r="B61" s="3" t="s">
        <v>15</v>
      </c>
      <c r="C61" s="3" t="s">
        <v>20</v>
      </c>
      <c r="D61" s="4" t="n">
        <v>41000</v>
      </c>
      <c r="E61" s="3" t="s">
        <v>33</v>
      </c>
    </row>
    <row r="62" customFormat="false" ht="15" hidden="false" customHeight="false" outlineLevel="0" collapsed="false">
      <c r="A62" s="2" t="n">
        <v>46143</v>
      </c>
      <c r="B62" s="3" t="s">
        <v>10</v>
      </c>
      <c r="C62" s="3" t="s">
        <v>19</v>
      </c>
      <c r="D62" s="4" t="n">
        <v>39000</v>
      </c>
      <c r="E62" s="3" t="s">
        <v>34</v>
      </c>
    </row>
    <row r="63" customFormat="false" ht="15" hidden="false" customHeight="false" outlineLevel="0" collapsed="false">
      <c r="A63" s="2" t="n">
        <v>46145</v>
      </c>
      <c r="B63" s="3" t="s">
        <v>5</v>
      </c>
      <c r="C63" s="3" t="s">
        <v>6</v>
      </c>
      <c r="D63" s="4" t="n">
        <v>1375000</v>
      </c>
      <c r="E63" s="3" t="s">
        <v>34</v>
      </c>
    </row>
    <row r="64" customFormat="false" ht="15" hidden="false" customHeight="false" outlineLevel="0" collapsed="false">
      <c r="A64" s="2" t="n">
        <v>46147</v>
      </c>
      <c r="B64" s="3" t="s">
        <v>8</v>
      </c>
      <c r="C64" s="3" t="s">
        <v>30</v>
      </c>
      <c r="D64" s="4" t="n">
        <v>45000</v>
      </c>
      <c r="E64" s="3" t="s">
        <v>34</v>
      </c>
    </row>
    <row r="65" customFormat="false" ht="15" hidden="false" customHeight="false" outlineLevel="0" collapsed="false">
      <c r="A65" s="2" t="n">
        <v>46148</v>
      </c>
      <c r="B65" s="3" t="s">
        <v>10</v>
      </c>
      <c r="C65" s="3" t="s">
        <v>19</v>
      </c>
      <c r="D65" s="4" t="n">
        <v>51000</v>
      </c>
      <c r="E65" s="3" t="s">
        <v>34</v>
      </c>
    </row>
    <row r="66" customFormat="false" ht="15" hidden="false" customHeight="false" outlineLevel="0" collapsed="false">
      <c r="A66" s="2" t="n">
        <v>46149</v>
      </c>
      <c r="B66" s="3" t="s">
        <v>15</v>
      </c>
      <c r="C66" s="3" t="s">
        <v>16</v>
      </c>
      <c r="D66" s="4" t="n">
        <v>100000</v>
      </c>
      <c r="E66" s="3" t="s">
        <v>34</v>
      </c>
    </row>
    <row r="67" customFormat="false" ht="15" hidden="false" customHeight="false" outlineLevel="0" collapsed="false">
      <c r="A67" s="2" t="n">
        <v>46150</v>
      </c>
      <c r="B67" s="3" t="s">
        <v>8</v>
      </c>
      <c r="C67" s="3" t="s">
        <v>13</v>
      </c>
      <c r="D67" s="4" t="n">
        <v>50000</v>
      </c>
      <c r="E67" s="3" t="s">
        <v>34</v>
      </c>
    </row>
    <row r="68" customFormat="false" ht="15" hidden="false" customHeight="false" outlineLevel="0" collapsed="false">
      <c r="A68" s="2" t="n">
        <v>46150</v>
      </c>
      <c r="B68" s="3" t="s">
        <v>8</v>
      </c>
      <c r="C68" s="3" t="s">
        <v>9</v>
      </c>
      <c r="D68" s="4" t="n">
        <v>141000</v>
      </c>
      <c r="E68" s="3" t="s">
        <v>34</v>
      </c>
    </row>
    <row r="69" customFormat="false" ht="15" hidden="false" customHeight="false" outlineLevel="0" collapsed="false">
      <c r="A69" s="2" t="n">
        <v>46152</v>
      </c>
      <c r="B69" s="3" t="s">
        <v>15</v>
      </c>
      <c r="C69" s="3" t="s">
        <v>20</v>
      </c>
      <c r="D69" s="4" t="n">
        <v>121000</v>
      </c>
      <c r="E69" s="3" t="s">
        <v>34</v>
      </c>
    </row>
    <row r="70" customFormat="false" ht="15" hidden="false" customHeight="false" outlineLevel="0" collapsed="false">
      <c r="A70" s="2" t="n">
        <v>46158</v>
      </c>
      <c r="B70" s="3" t="s">
        <v>22</v>
      </c>
      <c r="C70" s="3" t="s">
        <v>32</v>
      </c>
      <c r="D70" s="4" t="n">
        <v>186000</v>
      </c>
      <c r="E70" s="3" t="s">
        <v>34</v>
      </c>
    </row>
    <row r="71" customFormat="false" ht="15" hidden="false" customHeight="false" outlineLevel="0" collapsed="false">
      <c r="A71" s="2" t="n">
        <v>46160</v>
      </c>
      <c r="B71" s="3" t="s">
        <v>8</v>
      </c>
      <c r="C71" s="3" t="s">
        <v>9</v>
      </c>
      <c r="D71" s="4" t="n">
        <v>163000</v>
      </c>
      <c r="E71" s="3" t="s">
        <v>34</v>
      </c>
    </row>
    <row r="72" customFormat="false" ht="15" hidden="false" customHeight="false" outlineLevel="0" collapsed="false">
      <c r="A72" s="2" t="n">
        <v>46166</v>
      </c>
      <c r="B72" s="3" t="s">
        <v>17</v>
      </c>
      <c r="C72" s="3" t="s">
        <v>26</v>
      </c>
      <c r="D72" s="4" t="n">
        <v>41000</v>
      </c>
      <c r="E72" s="3" t="s">
        <v>34</v>
      </c>
    </row>
    <row r="73" customFormat="false" ht="15" hidden="false" customHeight="false" outlineLevel="0" collapsed="false">
      <c r="A73" s="2" t="n">
        <v>46168</v>
      </c>
      <c r="B73" s="3" t="s">
        <v>15</v>
      </c>
      <c r="C73" s="3" t="s">
        <v>20</v>
      </c>
      <c r="D73" s="4" t="n">
        <v>38000</v>
      </c>
      <c r="E73" s="3" t="s">
        <v>34</v>
      </c>
    </row>
    <row r="74" customFormat="false" ht="15" hidden="false" customHeight="false" outlineLevel="0" collapsed="false">
      <c r="A74" s="2" t="n">
        <v>46170</v>
      </c>
      <c r="B74" s="3" t="s">
        <v>8</v>
      </c>
      <c r="C74" s="3" t="s">
        <v>14</v>
      </c>
      <c r="D74" s="4" t="n">
        <v>31000</v>
      </c>
      <c r="E74" s="3" t="s">
        <v>34</v>
      </c>
    </row>
    <row r="75" customFormat="false" ht="15" hidden="false" customHeight="false" outlineLevel="0" collapsed="false">
      <c r="A75" s="2" t="n">
        <v>46170</v>
      </c>
      <c r="B75" s="3" t="s">
        <v>10</v>
      </c>
      <c r="C75" s="3" t="s">
        <v>19</v>
      </c>
      <c r="D75" s="4" t="n">
        <v>19000</v>
      </c>
      <c r="E75" s="3" t="s">
        <v>34</v>
      </c>
    </row>
    <row r="76" customFormat="false" ht="15" hidden="false" customHeight="false" outlineLevel="0" collapsed="false">
      <c r="A76" s="2" t="n">
        <v>46176</v>
      </c>
      <c r="B76" s="3" t="s">
        <v>5</v>
      </c>
      <c r="C76" s="3" t="s">
        <v>12</v>
      </c>
      <c r="D76" s="4" t="n">
        <v>202000</v>
      </c>
      <c r="E76" s="3" t="s">
        <v>35</v>
      </c>
    </row>
    <row r="77" customFormat="false" ht="15" hidden="false" customHeight="false" outlineLevel="0" collapsed="false">
      <c r="A77" s="2" t="n">
        <v>46177</v>
      </c>
      <c r="B77" s="3" t="s">
        <v>22</v>
      </c>
      <c r="C77" s="3" t="s">
        <v>23</v>
      </c>
      <c r="D77" s="4" t="n">
        <v>119000</v>
      </c>
      <c r="E77" s="3" t="s">
        <v>35</v>
      </c>
    </row>
    <row r="78" customFormat="false" ht="15" hidden="false" customHeight="false" outlineLevel="0" collapsed="false">
      <c r="A78" s="2" t="n">
        <v>46178</v>
      </c>
      <c r="B78" s="3" t="s">
        <v>5</v>
      </c>
      <c r="C78" s="3" t="s">
        <v>6</v>
      </c>
      <c r="D78" s="4" t="n">
        <v>1406000</v>
      </c>
      <c r="E78" s="3" t="s">
        <v>35</v>
      </c>
    </row>
    <row r="79" customFormat="false" ht="15" hidden="false" customHeight="false" outlineLevel="0" collapsed="false">
      <c r="A79" s="2" t="n">
        <v>46178</v>
      </c>
      <c r="B79" s="3" t="s">
        <v>10</v>
      </c>
      <c r="C79" s="3" t="s">
        <v>11</v>
      </c>
      <c r="D79" s="4" t="n">
        <v>49000</v>
      </c>
      <c r="E79" s="3" t="s">
        <v>35</v>
      </c>
    </row>
    <row r="80" customFormat="false" ht="15" hidden="false" customHeight="false" outlineLevel="0" collapsed="false">
      <c r="A80" s="2" t="n">
        <v>46181</v>
      </c>
      <c r="B80" s="3" t="s">
        <v>8</v>
      </c>
      <c r="C80" s="3" t="s">
        <v>30</v>
      </c>
      <c r="D80" s="4" t="n">
        <v>45000</v>
      </c>
      <c r="E80" s="3" t="s">
        <v>35</v>
      </c>
    </row>
    <row r="81" customFormat="false" ht="15" hidden="false" customHeight="false" outlineLevel="0" collapsed="false">
      <c r="A81" s="2" t="n">
        <v>46181</v>
      </c>
      <c r="B81" s="3" t="s">
        <v>15</v>
      </c>
      <c r="C81" s="3" t="s">
        <v>27</v>
      </c>
      <c r="D81" s="4" t="n">
        <v>53000</v>
      </c>
      <c r="E81" s="3" t="s">
        <v>35</v>
      </c>
    </row>
    <row r="82" customFormat="false" ht="15" hidden="false" customHeight="false" outlineLevel="0" collapsed="false">
      <c r="A82" s="2" t="n">
        <v>46182</v>
      </c>
      <c r="B82" s="3" t="s">
        <v>8</v>
      </c>
      <c r="C82" s="3" t="s">
        <v>13</v>
      </c>
      <c r="D82" s="4" t="n">
        <v>63000</v>
      </c>
      <c r="E82" s="3" t="s">
        <v>35</v>
      </c>
    </row>
    <row r="83" customFormat="false" ht="15" hidden="false" customHeight="false" outlineLevel="0" collapsed="false">
      <c r="A83" s="2" t="n">
        <v>46187</v>
      </c>
      <c r="B83" s="3" t="s">
        <v>8</v>
      </c>
      <c r="C83" s="3" t="s">
        <v>14</v>
      </c>
      <c r="D83" s="4" t="n">
        <v>94000</v>
      </c>
      <c r="E83" s="3" t="s">
        <v>35</v>
      </c>
    </row>
    <row r="84" customFormat="false" ht="15" hidden="false" customHeight="false" outlineLevel="0" collapsed="false">
      <c r="A84" s="2" t="n">
        <v>46190</v>
      </c>
      <c r="B84" s="3" t="s">
        <v>10</v>
      </c>
      <c r="C84" s="3" t="s">
        <v>11</v>
      </c>
      <c r="D84" s="4" t="n">
        <v>29000</v>
      </c>
      <c r="E84" s="3" t="s">
        <v>35</v>
      </c>
    </row>
    <row r="85" customFormat="false" ht="15" hidden="false" customHeight="false" outlineLevel="0" collapsed="false">
      <c r="A85" s="2" t="n">
        <v>46192</v>
      </c>
      <c r="B85" s="3" t="s">
        <v>8</v>
      </c>
      <c r="C85" s="3" t="s">
        <v>13</v>
      </c>
      <c r="D85" s="4" t="n">
        <v>29000</v>
      </c>
      <c r="E85" s="3" t="s">
        <v>35</v>
      </c>
    </row>
    <row r="86" customFormat="false" ht="15" hidden="false" customHeight="false" outlineLevel="0" collapsed="false">
      <c r="A86" s="2" t="n">
        <v>46192</v>
      </c>
      <c r="B86" s="3" t="s">
        <v>10</v>
      </c>
      <c r="C86" s="3" t="s">
        <v>21</v>
      </c>
      <c r="D86" s="4" t="n">
        <v>22000</v>
      </c>
      <c r="E86" s="3" t="s">
        <v>35</v>
      </c>
    </row>
    <row r="87" customFormat="false" ht="15" hidden="false" customHeight="false" outlineLevel="0" collapsed="false">
      <c r="A87" s="2" t="n">
        <v>46193</v>
      </c>
      <c r="B87" s="3" t="s">
        <v>8</v>
      </c>
      <c r="C87" s="3" t="s">
        <v>9</v>
      </c>
      <c r="D87" s="4" t="n">
        <v>154000</v>
      </c>
      <c r="E87" s="3" t="s">
        <v>35</v>
      </c>
    </row>
    <row r="88" customFormat="false" ht="15" hidden="false" customHeight="false" outlineLevel="0" collapsed="false">
      <c r="A88" s="2" t="n">
        <v>46195</v>
      </c>
      <c r="B88" s="3" t="s">
        <v>17</v>
      </c>
      <c r="C88" s="3" t="s">
        <v>28</v>
      </c>
      <c r="D88" s="4" t="n">
        <v>118000</v>
      </c>
      <c r="E88" s="3" t="s">
        <v>35</v>
      </c>
    </row>
    <row r="89" customFormat="false" ht="15" hidden="false" customHeight="false" outlineLevel="0" collapsed="false">
      <c r="A89" s="2" t="n">
        <v>46198</v>
      </c>
      <c r="B89" s="3" t="s">
        <v>10</v>
      </c>
      <c r="C89" s="3" t="s">
        <v>21</v>
      </c>
      <c r="D89" s="4" t="n">
        <v>17000</v>
      </c>
      <c r="E89" s="3" t="s">
        <v>35</v>
      </c>
    </row>
    <row r="90" customFormat="false" ht="15" hidden="false" customHeight="false" outlineLevel="0" collapsed="false">
      <c r="A90" s="2" t="n">
        <v>46200</v>
      </c>
      <c r="B90" s="3" t="s">
        <v>15</v>
      </c>
      <c r="C90" s="3" t="s">
        <v>27</v>
      </c>
      <c r="D90" s="4" t="n">
        <v>110000</v>
      </c>
      <c r="E90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5"/>
    <col collapsed="false" customWidth="true" hidden="false" outlineLevel="0" max="9" min="9" style="0" width="9"/>
  </cols>
  <sheetData>
    <row r="1" customFormat="false" ht="25.5" hidden="false" customHeight="true" outlineLevel="0" collapsed="false">
      <c r="A1" s="5" t="s">
        <v>36</v>
      </c>
      <c r="B1" s="5"/>
      <c r="C1" s="5"/>
      <c r="D1" s="5"/>
      <c r="E1" s="5"/>
      <c r="F1" s="5"/>
      <c r="G1" s="5"/>
      <c r="H1" s="5"/>
      <c r="I1" s="5"/>
    </row>
    <row r="2" customFormat="false" ht="30" hidden="false" customHeight="true" outlineLevel="0" collapsed="false">
      <c r="A2" s="6" t="s">
        <v>37</v>
      </c>
      <c r="B2" s="6"/>
      <c r="C2" s="6"/>
      <c r="D2" s="6"/>
      <c r="E2" s="6"/>
      <c r="F2" s="6"/>
      <c r="G2" s="6"/>
      <c r="H2" s="6"/>
      <c r="I2" s="6"/>
    </row>
    <row r="4" customFormat="false" ht="26.85" hidden="false" customHeight="false" outlineLevel="0" collapsed="false">
      <c r="A4" s="7" t="s">
        <v>4</v>
      </c>
      <c r="B4" s="7" t="s">
        <v>5</v>
      </c>
      <c r="C4" s="7" t="s">
        <v>8</v>
      </c>
      <c r="D4" s="7" t="s">
        <v>10</v>
      </c>
      <c r="E4" s="7" t="s">
        <v>15</v>
      </c>
      <c r="F4" s="7" t="s">
        <v>17</v>
      </c>
      <c r="G4" s="7" t="s">
        <v>22</v>
      </c>
      <c r="H4" s="7" t="s">
        <v>38</v>
      </c>
      <c r="I4" s="7" t="s">
        <v>39</v>
      </c>
    </row>
    <row r="5" customFormat="false" ht="15" hidden="false" customHeight="false" outlineLevel="0" collapsed="false">
      <c r="A5" s="3" t="s">
        <v>7</v>
      </c>
      <c r="B5" s="4" t="n">
        <f aca="false">SUMIFS(Datos!$D:$D,Datos!$E:$E,$A5,Datos!$B:$B,B$4)</f>
        <v>1430000</v>
      </c>
      <c r="C5" s="4" t="n">
        <f aca="false">SUMIFS(Datos!$D:$D,Datos!$E:$E,$A5,Datos!$B:$B,C$4)</f>
        <v>376000</v>
      </c>
      <c r="D5" s="4" t="n">
        <f aca="false">SUMIFS(Datos!$D:$D,Datos!$E:$E,$A5,Datos!$B:$B,D$4)</f>
        <v>163000</v>
      </c>
      <c r="E5" s="4" t="n">
        <f aca="false">SUMIFS(Datos!$D:$D,Datos!$E:$E,$A5,Datos!$B:$B,E$4)</f>
        <v>173000</v>
      </c>
      <c r="F5" s="4" t="n">
        <f aca="false">SUMIFS(Datos!$D:$D,Datos!$E:$E,$A5,Datos!$B:$B,F$4)</f>
        <v>312000</v>
      </c>
      <c r="G5" s="4" t="n">
        <f aca="false">SUMIFS(Datos!$D:$D,Datos!$E:$E,$A5,Datos!$B:$B,G$4)</f>
        <v>84000</v>
      </c>
      <c r="H5" s="8" t="n">
        <f aca="false">SUM(B5:G5)</f>
        <v>2538000</v>
      </c>
      <c r="I5" s="3" t="n">
        <v>1</v>
      </c>
    </row>
    <row r="6" customFormat="false" ht="15" hidden="false" customHeight="false" outlineLevel="0" collapsed="false">
      <c r="A6" s="3" t="s">
        <v>24</v>
      </c>
      <c r="B6" s="4" t="n">
        <f aca="false">SUMIFS(Datos!$D:$D,Datos!$E:$E,$A6,Datos!$B:$B,B$4)</f>
        <v>1465000</v>
      </c>
      <c r="C6" s="4" t="n">
        <f aca="false">SUMIFS(Datos!$D:$D,Datos!$E:$E,$A6,Datos!$B:$B,C$4)</f>
        <v>412000</v>
      </c>
      <c r="D6" s="4" t="n">
        <f aca="false">SUMIFS(Datos!$D:$D,Datos!$E:$E,$A6,Datos!$B:$B,D$4)</f>
        <v>95000</v>
      </c>
      <c r="E6" s="4" t="n">
        <f aca="false">SUMIFS(Datos!$D:$D,Datos!$E:$E,$A6,Datos!$B:$B,E$4)</f>
        <v>184000</v>
      </c>
      <c r="F6" s="4" t="n">
        <f aca="false">SUMIFS(Datos!$D:$D,Datos!$E:$E,$A6,Datos!$B:$B,F$4)</f>
        <v>57000</v>
      </c>
      <c r="G6" s="4" t="n">
        <f aca="false">SUMIFS(Datos!$D:$D,Datos!$E:$E,$A6,Datos!$B:$B,G$4)</f>
        <v>103000</v>
      </c>
      <c r="H6" s="8" t="n">
        <f aca="false">SUM(B6:G6)</f>
        <v>2316000</v>
      </c>
      <c r="I6" s="3" t="n">
        <v>2</v>
      </c>
    </row>
    <row r="7" customFormat="false" ht="15" hidden="false" customHeight="false" outlineLevel="0" collapsed="false">
      <c r="A7" s="3" t="s">
        <v>29</v>
      </c>
      <c r="B7" s="4" t="n">
        <f aca="false">SUMIFS(Datos!$D:$D,Datos!$E:$E,$A7,Datos!$B:$B,B$4)</f>
        <v>1501000</v>
      </c>
      <c r="C7" s="4" t="n">
        <f aca="false">SUMIFS(Datos!$D:$D,Datos!$E:$E,$A7,Datos!$B:$B,C$4)</f>
        <v>542000</v>
      </c>
      <c r="D7" s="4" t="n">
        <f aca="false">SUMIFS(Datos!$D:$D,Datos!$E:$E,$A7,Datos!$B:$B,D$4)</f>
        <v>159000</v>
      </c>
      <c r="E7" s="4" t="n">
        <f aca="false">SUMIFS(Datos!$D:$D,Datos!$E:$E,$A7,Datos!$B:$B,E$4)</f>
        <v>192000</v>
      </c>
      <c r="F7" s="4" t="n">
        <f aca="false">SUMIFS(Datos!$D:$D,Datos!$E:$E,$A7,Datos!$B:$B,F$4)</f>
        <v>167000</v>
      </c>
      <c r="G7" s="4" t="n">
        <f aca="false">SUMIFS(Datos!$D:$D,Datos!$E:$E,$A7,Datos!$B:$B,G$4)</f>
        <v>241000</v>
      </c>
      <c r="H7" s="8" t="n">
        <f aca="false">SUM(B7:G7)</f>
        <v>2802000</v>
      </c>
      <c r="I7" s="3" t="n">
        <v>3</v>
      </c>
    </row>
    <row r="8" customFormat="false" ht="15" hidden="false" customHeight="false" outlineLevel="0" collapsed="false">
      <c r="A8" s="3" t="s">
        <v>33</v>
      </c>
      <c r="B8" s="4" t="n">
        <f aca="false">SUMIFS(Datos!$D:$D,Datos!$E:$E,$A8,Datos!$B:$B,B$4)</f>
        <v>1344000</v>
      </c>
      <c r="C8" s="4" t="n">
        <f aca="false">SUMIFS(Datos!$D:$D,Datos!$E:$E,$A8,Datos!$B:$B,C$4)</f>
        <v>402000</v>
      </c>
      <c r="D8" s="4" t="n">
        <f aca="false">SUMIFS(Datos!$D:$D,Datos!$E:$E,$A8,Datos!$B:$B,D$4)</f>
        <v>65000</v>
      </c>
      <c r="E8" s="4" t="n">
        <f aca="false">SUMIFS(Datos!$D:$D,Datos!$E:$E,$A8,Datos!$B:$B,E$4)</f>
        <v>144000</v>
      </c>
      <c r="F8" s="4" t="n">
        <f aca="false">SUMIFS(Datos!$D:$D,Datos!$E:$E,$A8,Datos!$B:$B,F$4)</f>
        <v>350000</v>
      </c>
      <c r="G8" s="4" t="n">
        <f aca="false">SUMIFS(Datos!$D:$D,Datos!$E:$E,$A8,Datos!$B:$B,G$4)</f>
        <v>74000</v>
      </c>
      <c r="H8" s="8" t="n">
        <f aca="false">SUM(B8:G8)</f>
        <v>2379000</v>
      </c>
      <c r="I8" s="3" t="n">
        <v>4</v>
      </c>
    </row>
    <row r="9" customFormat="false" ht="15" hidden="false" customHeight="false" outlineLevel="0" collapsed="false">
      <c r="A9" s="3" t="s">
        <v>34</v>
      </c>
      <c r="B9" s="4" t="n">
        <f aca="false">SUMIFS(Datos!$D:$D,Datos!$E:$E,$A9,Datos!$B:$B,B$4)</f>
        <v>1375000</v>
      </c>
      <c r="C9" s="4" t="n">
        <f aca="false">SUMIFS(Datos!$D:$D,Datos!$E:$E,$A9,Datos!$B:$B,C$4)</f>
        <v>430000</v>
      </c>
      <c r="D9" s="4" t="n">
        <f aca="false">SUMIFS(Datos!$D:$D,Datos!$E:$E,$A9,Datos!$B:$B,D$4)</f>
        <v>109000</v>
      </c>
      <c r="E9" s="4" t="n">
        <f aca="false">SUMIFS(Datos!$D:$D,Datos!$E:$E,$A9,Datos!$B:$B,E$4)</f>
        <v>259000</v>
      </c>
      <c r="F9" s="4" t="n">
        <f aca="false">SUMIFS(Datos!$D:$D,Datos!$E:$E,$A9,Datos!$B:$B,F$4)</f>
        <v>41000</v>
      </c>
      <c r="G9" s="4" t="n">
        <f aca="false">SUMIFS(Datos!$D:$D,Datos!$E:$E,$A9,Datos!$B:$B,G$4)</f>
        <v>186000</v>
      </c>
      <c r="H9" s="8" t="n">
        <f aca="false">SUM(B9:G9)</f>
        <v>2400000</v>
      </c>
      <c r="I9" s="3" t="n">
        <v>5</v>
      </c>
    </row>
    <row r="10" customFormat="false" ht="15" hidden="false" customHeight="false" outlineLevel="0" collapsed="false">
      <c r="A10" s="3" t="s">
        <v>35</v>
      </c>
      <c r="B10" s="4" t="n">
        <f aca="false">SUMIFS(Datos!$D:$D,Datos!$E:$E,$A10,Datos!$B:$B,B$4)</f>
        <v>1608000</v>
      </c>
      <c r="C10" s="4" t="n">
        <f aca="false">SUMIFS(Datos!$D:$D,Datos!$E:$E,$A10,Datos!$B:$B,C$4)</f>
        <v>385000</v>
      </c>
      <c r="D10" s="4" t="n">
        <f aca="false">SUMIFS(Datos!$D:$D,Datos!$E:$E,$A10,Datos!$B:$B,D$4)</f>
        <v>117000</v>
      </c>
      <c r="E10" s="4" t="n">
        <f aca="false">SUMIFS(Datos!$D:$D,Datos!$E:$E,$A10,Datos!$B:$B,E$4)</f>
        <v>163000</v>
      </c>
      <c r="F10" s="4" t="n">
        <f aca="false">SUMIFS(Datos!$D:$D,Datos!$E:$E,$A10,Datos!$B:$B,F$4)</f>
        <v>118000</v>
      </c>
      <c r="G10" s="4" t="n">
        <f aca="false">SUMIFS(Datos!$D:$D,Datos!$E:$E,$A10,Datos!$B:$B,G$4)</f>
        <v>119000</v>
      </c>
      <c r="H10" s="8" t="n">
        <f aca="false">SUM(B10:G10)</f>
        <v>2510000</v>
      </c>
      <c r="I10" s="3" t="n">
        <v>6</v>
      </c>
    </row>
    <row r="11" customFormat="false" ht="15" hidden="false" customHeight="false" outlineLevel="0" collapsed="false">
      <c r="A11" s="9" t="s">
        <v>40</v>
      </c>
      <c r="B11" s="10" t="n">
        <f aca="false">FORECAST(I11,B5:B10,I5:I10)</f>
        <v>1500133.33333333</v>
      </c>
      <c r="C11" s="10" t="n">
        <f aca="false">FORECAST(I11,C5:C10,I5:I10)</f>
        <v>420400</v>
      </c>
      <c r="D11" s="10" t="n">
        <f aca="false">FORECAST(I11,D5:D10,I5:I10)</f>
        <v>89800</v>
      </c>
      <c r="E11" s="10" t="n">
        <f aca="false">FORECAST(I11,E5:E10,I5:I10)</f>
        <v>198533.333333333</v>
      </c>
      <c r="F11" s="10" t="n">
        <f aca="false">FORECAST(I11,F5:F10,I5:I10)</f>
        <v>90666.6666666667</v>
      </c>
      <c r="G11" s="10" t="n">
        <f aca="false">FORECAST(I11,G5:G10,I5:I10)</f>
        <v>160200</v>
      </c>
      <c r="H11" s="10" t="n">
        <f aca="false">SUM(B11:G11)</f>
        <v>2459733.33333333</v>
      </c>
      <c r="I11" s="9" t="n">
        <v>7</v>
      </c>
    </row>
    <row r="13" customFormat="false" ht="15" hidden="false" customHeight="false" outlineLevel="0" collapsed="false">
      <c r="A13" s="11" t="s">
        <v>41</v>
      </c>
      <c r="B13" s="12" t="n">
        <f aca="false">SUM(B5:B10)</f>
        <v>8723000</v>
      </c>
      <c r="C13" s="12" t="n">
        <f aca="false">SUM(C5:C10)</f>
        <v>2547000</v>
      </c>
      <c r="D13" s="12" t="n">
        <f aca="false">SUM(D5:D10)</f>
        <v>708000</v>
      </c>
      <c r="E13" s="12" t="n">
        <f aca="false">SUM(E5:E10)</f>
        <v>1115000</v>
      </c>
      <c r="F13" s="12" t="n">
        <f aca="false">SUM(F5:F10)</f>
        <v>1045000</v>
      </c>
      <c r="G13" s="12" t="n">
        <f aca="false">SUM(G5:G10)</f>
        <v>807000</v>
      </c>
    </row>
    <row r="15" customFormat="false" ht="21.75" hidden="false" customHeight="true" outlineLevel="0" collapsed="false">
      <c r="A15" s="13" t="s">
        <v>42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4" t="s">
        <v>43</v>
      </c>
      <c r="B16" s="15" t="str">
        <f aca="false">INDEX($A$5:$A$10,MATCH(MAX($H$5:$H$10),$H$5:$H$10,0))</f>
        <v>Marzo 2026</v>
      </c>
      <c r="C16" s="15"/>
      <c r="D16" s="15"/>
      <c r="E16" s="15"/>
    </row>
    <row r="17" customFormat="false" ht="15" hidden="false" customHeight="false" outlineLevel="0" collapsed="false">
      <c r="A17" s="14" t="s">
        <v>44</v>
      </c>
      <c r="B17" s="16" t="n">
        <f aca="false">MAX($H$5:$H$10)</f>
        <v>2802000</v>
      </c>
      <c r="C17" s="16"/>
      <c r="D17" s="16"/>
      <c r="E17" s="16"/>
    </row>
    <row r="18" customFormat="false" ht="15" hidden="false" customHeight="false" outlineLevel="0" collapsed="false">
      <c r="A18" s="14" t="s">
        <v>45</v>
      </c>
      <c r="B18" s="15" t="str">
        <f aca="false">INDEX($B$4:$G$4,MATCH(MAX($B$13:$G$13),$B$13:$G$13,0))</f>
        <v>Vivienda</v>
      </c>
      <c r="C18" s="15"/>
      <c r="D18" s="15"/>
      <c r="E18" s="15"/>
    </row>
    <row r="19" customFormat="false" ht="15" hidden="false" customHeight="false" outlineLevel="0" collapsed="false">
      <c r="A19" s="14" t="s">
        <v>46</v>
      </c>
      <c r="B19" s="16" t="n">
        <f aca="false">H11</f>
        <v>2459733.33333333</v>
      </c>
      <c r="C19" s="16"/>
      <c r="D19" s="16"/>
      <c r="E19" s="16"/>
    </row>
    <row r="20" customFormat="false" ht="15" hidden="false" customHeight="false" outlineLevel="0" collapsed="false">
      <c r="A20" s="14" t="s">
        <v>47</v>
      </c>
      <c r="B20" s="17" t="n">
        <f aca="false">(H11-H10)/H10</f>
        <v>-0.0200265604249669</v>
      </c>
      <c r="C20" s="17"/>
      <c r="D20" s="17"/>
      <c r="E20" s="17"/>
    </row>
    <row r="21" customFormat="false" ht="15" hidden="false" customHeight="false" outlineLevel="0" collapsed="false">
      <c r="A21" s="14" t="s">
        <v>48</v>
      </c>
      <c r="B21" s="16" t="n">
        <f aca="false">SLOPE($H$5:$H$10,$I$5:$I$10)</f>
        <v>-8885.71428571429</v>
      </c>
      <c r="C21" s="16"/>
      <c r="D21" s="16"/>
      <c r="E21" s="16"/>
    </row>
    <row r="23" customFormat="false" ht="15" hidden="false" customHeight="false" outlineLevel="0" collapsed="false">
      <c r="A23" s="18" t="s">
        <v>49</v>
      </c>
    </row>
    <row r="24" customFormat="false" ht="15" hidden="false" customHeight="false" outlineLevel="0" collapsed="false">
      <c r="A24" s="19" t="str">
        <f aca="false">"El gasto total mensual muestra una tendencia "&amp;IF(B21&gt;0,"creciente","decreciente")&amp;", con un cambio promedio de "&amp;TEXT(ABS(B21),"$#,##0")&amp;" por mes. "&amp;"El mes de mayor gasto registrado fue "&amp;B16&amp;", con un total de "&amp;TEXT(B17,"$#,##0")&amp;". "&amp;"La categoría que más aporta al gasto acumulado es "&amp;B18&amp;". "&amp;"Para Julio de 2026 se proyecta un gasto total de "&amp;TEXT(B19,"$#,##0")&amp;", lo que representa una variación de "&amp;TEXT(B20,"0.0%")&amp;" respecto al mes anterior."</f>
        <v>El gasto total mensual muestra una tendencia decreciente, con un cambio promedio de $8,886 por mes. El mes de mayor gasto registrado fue Marzo 2026, con un total de $2,802,000. La categoría que más aporta al gasto acumulado es Vivienda. Para Julio de 2026 se proyecta un gasto total de $2,459,733, lo que representa una variación de -2.0% respecto al mes anterior.</v>
      </c>
      <c r="B24" s="19"/>
      <c r="C24" s="19"/>
      <c r="D24" s="19"/>
      <c r="E24" s="19"/>
      <c r="F24" s="19"/>
      <c r="G24" s="19"/>
      <c r="H24" s="19"/>
      <c r="I24" s="19"/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</sheetData>
  <mergeCells count="10">
    <mergeCell ref="A1:I1"/>
    <mergeCell ref="A2:I2"/>
    <mergeCell ref="A15:I15"/>
    <mergeCell ref="B16:E16"/>
    <mergeCell ref="B17:E17"/>
    <mergeCell ref="B18:E18"/>
    <mergeCell ref="B19:E19"/>
    <mergeCell ref="B20:E20"/>
    <mergeCell ref="B21:E21"/>
    <mergeCell ref="A24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0"/>
  </cols>
  <sheetData>
    <row r="1" customFormat="false" ht="25.5" hidden="false" customHeight="true" outlineLevel="0" collapsed="false">
      <c r="A1" s="5" t="s">
        <v>50</v>
      </c>
      <c r="B1" s="5"/>
      <c r="C1" s="5"/>
    </row>
    <row r="3" customFormat="false" ht="60" hidden="false" customHeight="true" outlineLevel="0" collapsed="false">
      <c r="A3" s="20" t="s">
        <v>51</v>
      </c>
      <c r="B3" s="21" t="s">
        <v>52</v>
      </c>
      <c r="C3" s="21"/>
    </row>
    <row r="4" customFormat="false" ht="60" hidden="false" customHeight="true" outlineLevel="0" collapsed="false">
      <c r="A4" s="20" t="s">
        <v>53</v>
      </c>
      <c r="B4" s="21" t="s">
        <v>54</v>
      </c>
      <c r="C4" s="21"/>
    </row>
    <row r="5" customFormat="false" ht="60" hidden="false" customHeight="true" outlineLevel="0" collapsed="false">
      <c r="A5" s="20" t="s">
        <v>55</v>
      </c>
      <c r="B5" s="21" t="s">
        <v>56</v>
      </c>
      <c r="C5" s="21"/>
    </row>
    <row r="6" customFormat="false" ht="60" hidden="false" customHeight="true" outlineLevel="0" collapsed="false">
      <c r="A6" s="20" t="s">
        <v>57</v>
      </c>
      <c r="B6" s="21" t="s">
        <v>58</v>
      </c>
      <c r="C6" s="21"/>
    </row>
    <row r="7" customFormat="false" ht="60" hidden="false" customHeight="true" outlineLevel="0" collapsed="false">
      <c r="A7" s="20" t="s">
        <v>59</v>
      </c>
      <c r="B7" s="21" t="str">
        <f aca="false">Resumen_IA!A23</f>
        <v>Interpretación automática:</v>
      </c>
      <c r="C7" s="21"/>
    </row>
  </sheetData>
  <mergeCells count="6">
    <mergeCell ref="A1:C1"/>
    <mergeCell ref="B3:C3"/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2026-09-13T03:46:08Z</dcterms:created>
  <dc:creator>openpyxl</dc:creator>
  <dc:description/>
  <dc:language>en-US</dc:language>
  <cp:lastModifiedBy/>
  <dcterms:modified xsi:type="dcterms:W3CDTF">2026-09-13T03:46:10Z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